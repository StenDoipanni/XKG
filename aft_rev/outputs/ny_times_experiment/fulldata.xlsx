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defaultThemeVersion="202300"/>
  <mc:AlternateContent xmlns:mc="http://schemas.openxmlformats.org/markup-compatibility/2006">
    <mc:Choice Requires="x15">
      <x15ac:absPath xmlns:x15ac="http://schemas.microsoft.com/office/spreadsheetml/2010/11/ac" url="/Users/aldogangemi/Dropbox/Koi/Docs_Work/Ricerca/iTAF/downstream/"/>
    </mc:Choice>
  </mc:AlternateContent>
  <xr:revisionPtr revIDLastSave="0" documentId="13_ncr:1_{ECABDCA7-9004-FD41-9CE8-DE5EFB76D636}" xr6:coauthVersionLast="47" xr6:coauthVersionMax="47" xr10:uidLastSave="{00000000-0000-0000-0000-000000000000}"/>
  <bookViews>
    <workbookView xWindow="940" yWindow="680" windowWidth="27160" windowHeight="16280" xr2:uid="{66C29982-C426-764E-98A0-B4EA13FD080C}"/>
  </bookViews>
  <sheets>
    <sheet name="Claude" sheetId="1" r:id="rId1"/>
    <sheet name="ChatGPT" sheetId="2" r:id="rId2"/>
    <sheet name="MergedSilv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3" l="1"/>
  <c r="E14" i="2"/>
  <c r="D14" i="2"/>
  <c r="F14" i="1"/>
  <c r="E14" i="1"/>
  <c r="I14" i="3"/>
  <c r="H14" i="3"/>
  <c r="H15" i="3" s="1"/>
  <c r="G14" i="3"/>
  <c r="G15" i="3"/>
  <c r="J13" i="2"/>
  <c r="I13" i="2"/>
  <c r="H13" i="2"/>
  <c r="J12" i="2"/>
  <c r="I12" i="2"/>
  <c r="H12" i="2"/>
  <c r="J10" i="2"/>
  <c r="I10" i="2"/>
  <c r="H10" i="2"/>
  <c r="J9" i="2"/>
  <c r="I9" i="2"/>
  <c r="H9" i="2"/>
  <c r="J8" i="2"/>
  <c r="I8" i="2"/>
  <c r="H8" i="2"/>
  <c r="J7" i="2"/>
  <c r="I7" i="2"/>
  <c r="H7" i="2"/>
  <c r="H15" i="2" s="1"/>
  <c r="J5" i="2"/>
  <c r="I5" i="2"/>
  <c r="H5" i="2"/>
  <c r="J14" i="2"/>
  <c r="K13" i="1"/>
  <c r="J13" i="1"/>
  <c r="K12" i="1"/>
  <c r="J12" i="1"/>
  <c r="K11" i="1"/>
  <c r="J11" i="1"/>
  <c r="K10" i="1"/>
  <c r="J10" i="1"/>
  <c r="K9" i="1"/>
  <c r="J9" i="1"/>
  <c r="K7" i="1"/>
  <c r="J7" i="1"/>
  <c r="K6" i="1"/>
  <c r="J6" i="1"/>
  <c r="K5" i="1"/>
  <c r="J5" i="1"/>
  <c r="K4" i="1"/>
  <c r="J4" i="1"/>
  <c r="K3" i="1"/>
  <c r="J3" i="1"/>
  <c r="K2" i="1"/>
  <c r="K15" i="1" s="1"/>
  <c r="J2" i="1"/>
  <c r="I13" i="1"/>
  <c r="I12" i="1"/>
  <c r="I11" i="1"/>
  <c r="I10" i="1"/>
  <c r="I9" i="1"/>
  <c r="I7" i="1"/>
  <c r="I6" i="1"/>
  <c r="I5" i="1"/>
  <c r="I4" i="1"/>
  <c r="I3" i="1"/>
  <c r="I2" i="1"/>
  <c r="I14" i="1" s="1"/>
  <c r="I14" i="2" l="1"/>
  <c r="I15" i="2" s="1"/>
  <c r="I15" i="3"/>
  <c r="J15" i="2"/>
  <c r="H14" i="2"/>
  <c r="J15" i="1"/>
  <c r="K14" i="1"/>
  <c r="I15" i="1"/>
  <c r="J14" i="1"/>
</calcChain>
</file>

<file path=xl/sharedStrings.xml><?xml version="1.0" encoding="utf-8"?>
<sst xmlns="http://schemas.openxmlformats.org/spreadsheetml/2006/main" count="168" uniqueCount="81">
  <si>
    <t xml:space="preserve">1	</t>
  </si>
  <si>
    <t xml:space="preserve">2	</t>
  </si>
  <si>
    <t xml:space="preserve">3	</t>
  </si>
  <si>
    <t xml:space="preserve">4	</t>
  </si>
  <si>
    <t xml:space="preserve">5	</t>
  </si>
  <si>
    <t xml:space="preserve">6	</t>
  </si>
  <si>
    <t xml:space="preserve">7	</t>
  </si>
  <si>
    <t xml:space="preserve">8	</t>
  </si>
  <si>
    <t xml:space="preserve">9	</t>
  </si>
  <si>
    <t xml:space="preserve">10	</t>
  </si>
  <si>
    <t xml:space="preserve">11	</t>
  </si>
  <si>
    <t xml:space="preserve">12	</t>
  </si>
  <si>
    <t>The Trump administration is giving Immigration and Customs Enforcement officials the power to quickly deport migrants who were allowed into the country temporarily under Biden-era programs, according to an internal government memo obtained by The New York Times.</t>
  </si>
  <si>
    <t>text</t>
  </si>
  <si>
    <t>predictions_medium</t>
  </si>
  <si>
    <t>The experts identified 600 dubious papers from the group that have distorted the field: papers having been cited 80,000 times in the scientific literature. Many of the most respected Alzheimer’s scholars repeatedly referred to those tainted studies to support their own ideas. This has compromised the field’s established base of knowledge.</t>
  </si>
  <si>
    <t>Anti-abortion activists are charging ahead with their ultimate mission to end all abortions nationwide, freshly emboldened by powerful allies in Washington, a continued Supreme Court majority and legislative opportunities in conservative states.</t>
  </si>
  <si>
    <t>Joey Grant Luther promised the clients of his Manhattan medical spa faces that were less wrinkled, eyes that were more youthful and genitalia that were larger, all through the magic of injectable treatments like Botox. Instead, prosecutors said, many of those clients were left with botulism, impaired vision and other maladies after Mr. Luther illegally injected them with counterfeit drugs.</t>
  </si>
  <si>
    <t xml:space="preserve">The Trump administration wants to use this illegal policy to fuel its mass deportation agenda and rip communities apart,” Anand Balakrishnan, an A.C.L.U. lawyer, said in a statement. “Expanding expedited removal would give Trump a cheat code to circumvent due process and the Constitution, and we are again here to fight it. </t>
  </si>
  <si>
    <t xml:space="preserve">Medical advances have beaten back many relentless assassins in recent decades, such as cancer and heart disease. A wide range of treatments share credit: surgery, medicines, radiation, genetic therapies and healthful habits. Mortality rates for those two diseases, the top causes of death in the United States, have fallen sharply. But in an aging population, Alzheimer’s death rates have gone in the opposite direction. </t>
  </si>
  <si>
    <t>The point of the Garnier Opera building was never just the show onstage. It was the show of being on display, particularly for the rising bourgeoisie that had profited off France’s booming industrial revolution. “The point of the opera was to parade, for the elites of the time to offer a spectacle: themselves,” said Lamiable.</t>
  </si>
  <si>
    <t>Plenty of worried readers have been writing in — asking how, in broad strokes, they ought to deploy their money during the second Trump presidency. It is both a pressing problem and an eternal quandary, one that, in investing jargon, is labeled asset allocation. How do you divide up your money to get the most reward for the least risk? The new administration is presenting investors with outsize rewards and monumental risks right from the start.</t>
  </si>
  <si>
    <t>Ukraine fired a large volley of exploding drones at Russia on Friday, according to Ukrainian officials and the Russian military, in a barrage that set an oil refinery and pumping station on fire and briefly closed multiple airports, including several serving Moscow.</t>
  </si>
  <si>
    <t>The proposed mine, the company replied, would be in Pahrump, Nev., a town where Donnelly did his grocery shopping. But a month passed before a different alert revealed the project’s precise location: the edge of Ash Meadows National Wildlife Refuge, a beloved and biodiverse wetland not far from where Donnelly lived.</t>
  </si>
  <si>
    <t>The storm, named Eowyn, was expected to bring gales throughout Friday, according to the Irish Meteorological Service. Forecasters also said that Northern Ireland, southern Scotland and the northern and western areas of England and Wales would see strong winds. Britain’s national meteorological service issued a red warning, its highest level of alert indicating dangerous weather, for Northern Ireland and parts of Scotland.</t>
  </si>
  <si>
    <t>It was after a sublime Auralee runway show on Tuesday, when the designer, Ryota Iwai, told a fleet of journalists that this collection was — as they always are — inspired by daily life, that it hit me: These clothes work because they’re advanced normcore.</t>
  </si>
  <si>
    <t>Policy implementation delays; Increased border crossing; State enforcement variation</t>
  </si>
  <si>
    <t>ACLU legal action; Constitutional challenges; Community organizing</t>
  </si>
  <si>
    <t>State policy variations; Public protests; Resource mobilization</t>
  </si>
  <si>
    <t>Alzheimer's rates increase</t>
  </si>
  <si>
    <t>New research focus; Policy changes for aging care</t>
  </si>
  <si>
    <t>Paper retractions; Research direction changes</t>
  </si>
  <si>
    <t>Funding reallocation; Methodology reforms; Peer review changes</t>
  </si>
  <si>
    <t>New state restrictions; Legal challenges</t>
  </si>
  <si>
    <t>Interstate travel increases; Healthcare policy shifts</t>
  </si>
  <si>
    <t>Criminal prosecution; Civil lawsuits</t>
  </si>
  <si>
    <t>Industry regulation changes; Medical practice reforms</t>
  </si>
  <si>
    <t>Market volatility; Policy-driven investments</t>
  </si>
  <si>
    <t>Defensive portfolio shifts; Sector rotation</t>
  </si>
  <si>
    <t>Russian retaliation; Infrastructure damage</t>
  </si>
  <si>
    <t>Environmental impact studies; Local opposition</t>
  </si>
  <si>
    <t>Permit challenges; Wildlife protection measures</t>
  </si>
  <si>
    <t>Infrastructure damage; Transport disruption</t>
  </si>
  <si>
    <t>Emergency responses; Power outages</t>
  </si>
  <si>
    <t>Trend adoption; Sales increase</t>
  </si>
  <si>
    <t>Designer influence; Fashion industry shifts</t>
  </si>
  <si>
    <t># predictions_high+medium</t>
  </si>
  <si>
    <t># causal_ratio</t>
  </si>
  <si>
    <t># detail_ratio</t>
  </si>
  <si>
    <t xml:space="preserve">Increased deportations; Legal challenges; Migrants avoiding detection </t>
  </si>
  <si>
    <t>Aviation disruptions; Energy supply</t>
  </si>
  <si>
    <t>N/A</t>
  </si>
  <si>
    <t># event_ratio</t>
  </si>
  <si>
    <t>STD</t>
  </si>
  <si>
    <t>id</t>
  </si>
  <si>
    <t xml:space="preserve">predictions_high </t>
  </si>
  <si>
    <t>[Historical context - no future predictions]</t>
  </si>
  <si>
    <t># extracted predicted kg_events</t>
  </si>
  <si>
    <t># extracted kg_causal on predicted</t>
  </si>
  <si>
    <t># extracted kg_detail  on predicted</t>
  </si>
  <si>
    <t>Unclear future event; potential further developments expected</t>
  </si>
  <si>
    <t>Reevaluation of Alzheimer’s research; possible retractions and reforms in scientific publishing</t>
  </si>
  <si>
    <t>Criminal prosecution and possible lawsuits from affected clients</t>
  </si>
  <si>
    <t>Renewed interest in historical aspects of opera culture and social critique</t>
  </si>
  <si>
    <t>Market volatility with policy-driven swings in stock and bond markets</t>
  </si>
  <si>
    <t>Escalation of military conflict and potential retaliatory strikes</t>
  </si>
  <si>
    <t>Disruptions in transportation and power outages in affected regions</t>
  </si>
  <si>
    <t>Increased global interest in normcore fashion and its cultural significance</t>
  </si>
  <si>
    <t>predictions</t>
  </si>
  <si>
    <t># predictions</t>
  </si>
  <si>
    <t>merged_unique</t>
  </si>
  <si>
    <t>extracted</t>
  </si>
  <si>
    <t>recall</t>
  </si>
  <si>
    <t>false_positives</t>
  </si>
  <si>
    <t>correct_fps</t>
  </si>
  <si>
    <t>claude_predicted</t>
  </si>
  <si>
    <t>gpt_predicted</t>
  </si>
  <si>
    <t>F1</t>
  </si>
  <si>
    <t>AVG Recall</t>
  </si>
  <si>
    <t>Total AVG Precision</t>
  </si>
  <si>
    <t>AVG Precision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</si>
</sst>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i/>
      <sz val="12"/>
      <color theme="1"/>
      <name val="Aptos Narrow"/>
      <scheme val="minor"/>
    </font>
    <font>
      <b/>
      <sz val="12"/>
      <color theme="1"/>
      <name val="Aptos Narrow"/>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0">
    <xf numFmtId="0" fontId="0" fillId="0" borderId="0" xfId="0"/>
    <xf numFmtId="0" fontId="0" fillId="0" borderId="0" xfId="0" applyAlignment="1">
      <alignment wrapText="1"/>
    </xf>
    <xf numFmtId="0" fontId="1" fillId="0" borderId="0" xfId="0" applyFont="1"/>
    <xf numFmtId="0" fontId="2" fillId="0" borderId="0" xfId="0" applyFont="1" applyAlignment="1">
      <alignment horizontal="center"/>
    </xf>
    <xf numFmtId="0" fontId="2" fillId="0" borderId="0" xfId="0" applyFont="1" applyAlignment="1">
      <alignment horizontal="center" wrapText="1"/>
    </xf>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horizontal="center" vertical="center"/>
    </xf>
    <xf numFmtId="0" fontId="0" fillId="0" borderId="0" xfId="0" applyAlignment="1">
      <alignment horizontal="center" vertical="center"/>
    </xf>
    <xf numFmtId="2" fontId="0" fillId="0" borderId="0" xfId="0" applyNumberFormat="1" applyAlignment="1">
      <alignment horizontal="center" vertical="center"/>
    </xf>
    <xf numFmtId="0" fontId="2" fillId="0" borderId="0" xfId="0" applyNumberFormat="1" applyFont="1" applyAlignment="1">
      <alignment horizontal="center" vertical="center" wrapText="1"/>
    </xf>
    <xf numFmtId="0" fontId="1" fillId="0" borderId="0" xfId="0" applyFont="1" applyAlignment="1">
      <alignment vertical="center" wrapText="1"/>
    </xf>
    <xf numFmtId="0" fontId="0" fillId="2" borderId="0" xfId="0" applyFill="1" applyAlignment="1">
      <alignment vertical="center" wrapText="1"/>
    </xf>
    <xf numFmtId="0" fontId="0" fillId="0" borderId="0" xfId="0" applyFill="1"/>
    <xf numFmtId="2" fontId="1" fillId="0" borderId="0" xfId="0" applyNumberFormat="1" applyFont="1" applyFill="1" applyAlignment="1">
      <alignment horizontal="center" vertical="center"/>
    </xf>
    <xf numFmtId="0" fontId="2" fillId="3" borderId="0" xfId="0" applyFont="1" applyFill="1" applyAlignment="1">
      <alignment horizontal="center" vertical="center"/>
    </xf>
    <xf numFmtId="0" fontId="0" fillId="3" borderId="0" xfId="0" applyFill="1" applyAlignment="1">
      <alignment horizontal="center" vertical="center"/>
    </xf>
    <xf numFmtId="0" fontId="0" fillId="3" borderId="0" xfId="0" applyFill="1"/>
    <xf numFmtId="2" fontId="1" fillId="3" borderId="0" xfId="0" applyNumberFormat="1" applyFont="1" applyFill="1" applyAlignment="1">
      <alignment horizontal="center" vertical="center"/>
    </xf>
    <xf numFmtId="2" fontId="0" fillId="3" borderId="0" xfId="0" applyNumberForma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01AAF-B828-3548-8966-9DB0D62A8A05}">
  <dimension ref="A1:L15"/>
  <sheetViews>
    <sheetView tabSelected="1" workbookViewId="0">
      <selection activeCell="H15" sqref="H15"/>
    </sheetView>
  </sheetViews>
  <sheetFormatPr baseColWidth="10" defaultRowHeight="16" x14ac:dyDescent="0.2"/>
  <cols>
    <col min="1" max="1" width="4.5" style="8" bestFit="1" customWidth="1"/>
    <col min="2" max="2" width="82.33203125" style="1" customWidth="1"/>
    <col min="3" max="3" width="25.6640625" style="6" customWidth="1"/>
    <col min="4" max="4" width="27" style="6" customWidth="1"/>
    <col min="5" max="5" width="24.33203125" style="8" bestFit="1" customWidth="1"/>
    <col min="6" max="6" width="19.1640625" style="8" bestFit="1" customWidth="1"/>
    <col min="7" max="7" width="19.5" style="8" customWidth="1"/>
    <col min="8" max="8" width="19.33203125" style="8" customWidth="1"/>
    <col min="9" max="9" width="11.6640625" style="8" bestFit="1" customWidth="1"/>
    <col min="10" max="10" width="12.6640625" style="8" bestFit="1" customWidth="1"/>
    <col min="11" max="11" width="11.83203125" style="8" bestFit="1" customWidth="1"/>
    <col min="12" max="12" width="13" bestFit="1" customWidth="1"/>
  </cols>
  <sheetData>
    <row r="1" spans="1:12" s="3" customFormat="1" ht="34" x14ac:dyDescent="0.2">
      <c r="A1" s="7" t="s">
        <v>54</v>
      </c>
      <c r="B1" s="4" t="s">
        <v>13</v>
      </c>
      <c r="C1" s="5" t="s">
        <v>55</v>
      </c>
      <c r="D1" s="5" t="s">
        <v>14</v>
      </c>
      <c r="E1" s="7" t="s">
        <v>46</v>
      </c>
      <c r="F1" s="10" t="s">
        <v>57</v>
      </c>
      <c r="G1" s="5" t="s">
        <v>58</v>
      </c>
      <c r="H1" s="5" t="s">
        <v>59</v>
      </c>
      <c r="I1" s="15" t="s">
        <v>52</v>
      </c>
      <c r="J1" s="15" t="s">
        <v>47</v>
      </c>
      <c r="K1" s="15" t="s">
        <v>48</v>
      </c>
    </row>
    <row r="2" spans="1:12" ht="51" x14ac:dyDescent="0.2">
      <c r="A2" s="8" t="s">
        <v>0</v>
      </c>
      <c r="B2" s="1" t="s">
        <v>12</v>
      </c>
      <c r="C2" s="6" t="s">
        <v>49</v>
      </c>
      <c r="D2" s="6" t="s">
        <v>26</v>
      </c>
      <c r="E2" s="8">
        <v>6</v>
      </c>
      <c r="F2" s="8">
        <v>6</v>
      </c>
      <c r="G2" s="8">
        <v>4</v>
      </c>
      <c r="H2" s="8">
        <v>10</v>
      </c>
      <c r="I2" s="16">
        <f t="shared" ref="I2:I7" si="0">F2/E2</f>
        <v>1</v>
      </c>
      <c r="J2" s="19">
        <f>G2/E2</f>
        <v>0.66666666666666663</v>
      </c>
      <c r="K2" s="19">
        <f>H2/E2</f>
        <v>1.6666666666666667</v>
      </c>
    </row>
    <row r="3" spans="1:12" ht="68" x14ac:dyDescent="0.2">
      <c r="A3" s="8" t="s">
        <v>1</v>
      </c>
      <c r="B3" s="1" t="s">
        <v>18</v>
      </c>
      <c r="C3" s="6" t="s">
        <v>27</v>
      </c>
      <c r="D3" s="6" t="s">
        <v>28</v>
      </c>
      <c r="E3" s="8">
        <v>6</v>
      </c>
      <c r="F3" s="8">
        <v>6</v>
      </c>
      <c r="G3" s="8">
        <v>4</v>
      </c>
      <c r="H3" s="8">
        <v>10</v>
      </c>
      <c r="I3" s="16">
        <f t="shared" si="0"/>
        <v>1</v>
      </c>
      <c r="J3" s="19">
        <f t="shared" ref="J3:J13" si="1">G3/E3</f>
        <v>0.66666666666666663</v>
      </c>
      <c r="K3" s="19">
        <f t="shared" ref="K3:K13" si="2">H3/E3</f>
        <v>1.6666666666666667</v>
      </c>
    </row>
    <row r="4" spans="1:12" ht="85" x14ac:dyDescent="0.2">
      <c r="A4" s="8" t="s">
        <v>2</v>
      </c>
      <c r="B4" s="1" t="s">
        <v>19</v>
      </c>
      <c r="C4" s="6" t="s">
        <v>29</v>
      </c>
      <c r="D4" s="6" t="s">
        <v>30</v>
      </c>
      <c r="E4" s="8">
        <v>3</v>
      </c>
      <c r="F4" s="8">
        <v>3</v>
      </c>
      <c r="G4" s="8">
        <v>2</v>
      </c>
      <c r="H4" s="8">
        <v>13</v>
      </c>
      <c r="I4" s="16">
        <f t="shared" si="0"/>
        <v>1</v>
      </c>
      <c r="J4" s="19">
        <f t="shared" si="1"/>
        <v>0.66666666666666663</v>
      </c>
      <c r="K4" s="19">
        <f t="shared" si="2"/>
        <v>4.333333333333333</v>
      </c>
    </row>
    <row r="5" spans="1:12" ht="68" x14ac:dyDescent="0.2">
      <c r="A5" s="8" t="s">
        <v>3</v>
      </c>
      <c r="B5" s="1" t="s">
        <v>15</v>
      </c>
      <c r="C5" s="6" t="s">
        <v>31</v>
      </c>
      <c r="D5" s="6" t="s">
        <v>32</v>
      </c>
      <c r="E5" s="8">
        <v>5</v>
      </c>
      <c r="F5" s="8">
        <v>4</v>
      </c>
      <c r="G5" s="8">
        <v>2</v>
      </c>
      <c r="H5" s="8">
        <v>18</v>
      </c>
      <c r="I5" s="16">
        <f t="shared" si="0"/>
        <v>0.8</v>
      </c>
      <c r="J5" s="19">
        <f t="shared" si="1"/>
        <v>0.4</v>
      </c>
      <c r="K5" s="19">
        <f t="shared" si="2"/>
        <v>3.6</v>
      </c>
    </row>
    <row r="6" spans="1:12" ht="51" x14ac:dyDescent="0.2">
      <c r="A6" s="8" t="s">
        <v>4</v>
      </c>
      <c r="B6" s="1" t="s">
        <v>16</v>
      </c>
      <c r="C6" s="6" t="s">
        <v>33</v>
      </c>
      <c r="D6" s="6" t="s">
        <v>34</v>
      </c>
      <c r="E6" s="8">
        <v>4</v>
      </c>
      <c r="F6" s="8">
        <v>4</v>
      </c>
      <c r="G6" s="8">
        <v>3</v>
      </c>
      <c r="H6" s="8">
        <v>18</v>
      </c>
      <c r="I6" s="16">
        <f t="shared" si="0"/>
        <v>1</v>
      </c>
      <c r="J6" s="19">
        <f t="shared" si="1"/>
        <v>0.75</v>
      </c>
      <c r="K6" s="19">
        <f t="shared" si="2"/>
        <v>4.5</v>
      </c>
    </row>
    <row r="7" spans="1:12" ht="68" x14ac:dyDescent="0.2">
      <c r="A7" s="8" t="s">
        <v>5</v>
      </c>
      <c r="B7" s="1" t="s">
        <v>17</v>
      </c>
      <c r="C7" s="6" t="s">
        <v>35</v>
      </c>
      <c r="D7" s="6" t="s">
        <v>36</v>
      </c>
      <c r="E7" s="8">
        <v>4</v>
      </c>
      <c r="F7" s="8">
        <v>4</v>
      </c>
      <c r="G7" s="8">
        <v>2</v>
      </c>
      <c r="H7" s="8">
        <v>16</v>
      </c>
      <c r="I7" s="16">
        <f t="shared" si="0"/>
        <v>1</v>
      </c>
      <c r="J7" s="19">
        <f t="shared" si="1"/>
        <v>0.5</v>
      </c>
      <c r="K7" s="19">
        <f t="shared" si="2"/>
        <v>4</v>
      </c>
    </row>
    <row r="8" spans="1:12" ht="68" x14ac:dyDescent="0.2">
      <c r="A8" s="8" t="s">
        <v>6</v>
      </c>
      <c r="B8" s="1" t="s">
        <v>20</v>
      </c>
      <c r="C8" s="12" t="s">
        <v>56</v>
      </c>
      <c r="D8" s="12" t="s">
        <v>56</v>
      </c>
      <c r="E8" s="8" t="s">
        <v>51</v>
      </c>
      <c r="F8" s="8" t="s">
        <v>51</v>
      </c>
      <c r="G8" s="8" t="s">
        <v>51</v>
      </c>
      <c r="H8" s="8" t="s">
        <v>51</v>
      </c>
      <c r="I8" s="16" t="s">
        <v>51</v>
      </c>
      <c r="J8" s="16" t="s">
        <v>51</v>
      </c>
      <c r="K8" s="16" t="s">
        <v>51</v>
      </c>
    </row>
    <row r="9" spans="1:12" ht="85" x14ac:dyDescent="0.2">
      <c r="A9" s="8" t="s">
        <v>7</v>
      </c>
      <c r="B9" s="1" t="s">
        <v>21</v>
      </c>
      <c r="C9" s="6" t="s">
        <v>37</v>
      </c>
      <c r="D9" s="6" t="s">
        <v>38</v>
      </c>
      <c r="E9" s="8">
        <v>4</v>
      </c>
      <c r="F9" s="8">
        <v>4</v>
      </c>
      <c r="G9" s="8">
        <v>4</v>
      </c>
      <c r="H9" s="8">
        <v>20</v>
      </c>
      <c r="I9" s="16">
        <f>F9/E9</f>
        <v>1</v>
      </c>
      <c r="J9" s="19">
        <f t="shared" si="1"/>
        <v>1</v>
      </c>
      <c r="K9" s="19">
        <f t="shared" si="2"/>
        <v>5</v>
      </c>
    </row>
    <row r="10" spans="1:12" ht="51" x14ac:dyDescent="0.2">
      <c r="A10" s="8" t="s">
        <v>8</v>
      </c>
      <c r="B10" s="1" t="s">
        <v>22</v>
      </c>
      <c r="C10" s="6" t="s">
        <v>39</v>
      </c>
      <c r="D10" s="6" t="s">
        <v>50</v>
      </c>
      <c r="E10" s="8">
        <v>4</v>
      </c>
      <c r="F10" s="8">
        <v>4</v>
      </c>
      <c r="G10" s="8">
        <v>4</v>
      </c>
      <c r="H10" s="8">
        <v>12</v>
      </c>
      <c r="I10" s="16">
        <f>F10/E10</f>
        <v>1</v>
      </c>
      <c r="J10" s="19">
        <f t="shared" si="1"/>
        <v>1</v>
      </c>
      <c r="K10" s="19">
        <f t="shared" si="2"/>
        <v>3</v>
      </c>
    </row>
    <row r="11" spans="1:12" ht="68" x14ac:dyDescent="0.2">
      <c r="A11" s="8" t="s">
        <v>9</v>
      </c>
      <c r="B11" s="1" t="s">
        <v>23</v>
      </c>
      <c r="C11" s="6" t="s">
        <v>40</v>
      </c>
      <c r="D11" s="6" t="s">
        <v>41</v>
      </c>
      <c r="E11" s="8">
        <v>4</v>
      </c>
      <c r="F11" s="8">
        <v>4</v>
      </c>
      <c r="G11" s="8">
        <v>2</v>
      </c>
      <c r="H11" s="8">
        <v>20</v>
      </c>
      <c r="I11" s="16">
        <f>F11/E11</f>
        <v>1</v>
      </c>
      <c r="J11" s="19">
        <f t="shared" si="1"/>
        <v>0.5</v>
      </c>
      <c r="K11" s="19">
        <f t="shared" si="2"/>
        <v>5</v>
      </c>
    </row>
    <row r="12" spans="1:12" ht="85" x14ac:dyDescent="0.2">
      <c r="A12" s="8" t="s">
        <v>10</v>
      </c>
      <c r="B12" s="1" t="s">
        <v>24</v>
      </c>
      <c r="C12" s="6" t="s">
        <v>42</v>
      </c>
      <c r="D12" s="6" t="s">
        <v>43</v>
      </c>
      <c r="E12" s="8">
        <v>4</v>
      </c>
      <c r="F12" s="8">
        <v>4</v>
      </c>
      <c r="G12" s="8">
        <v>3</v>
      </c>
      <c r="H12" s="8">
        <v>25</v>
      </c>
      <c r="I12" s="16">
        <f>F12/E12</f>
        <v>1</v>
      </c>
      <c r="J12" s="19">
        <f t="shared" si="1"/>
        <v>0.75</v>
      </c>
      <c r="K12" s="19">
        <f t="shared" si="2"/>
        <v>6.25</v>
      </c>
    </row>
    <row r="13" spans="1:12" ht="51" x14ac:dyDescent="0.2">
      <c r="A13" s="8" t="s">
        <v>11</v>
      </c>
      <c r="B13" s="1" t="s">
        <v>25</v>
      </c>
      <c r="C13" s="6" t="s">
        <v>44</v>
      </c>
      <c r="D13" s="6" t="s">
        <v>45</v>
      </c>
      <c r="E13" s="8">
        <v>4</v>
      </c>
      <c r="F13" s="8">
        <v>4</v>
      </c>
      <c r="G13" s="8">
        <v>3</v>
      </c>
      <c r="H13" s="8">
        <v>13</v>
      </c>
      <c r="I13" s="16">
        <f>F13/E13</f>
        <v>1</v>
      </c>
      <c r="J13" s="19">
        <f t="shared" si="1"/>
        <v>0.75</v>
      </c>
      <c r="K13" s="19">
        <f t="shared" si="2"/>
        <v>3.25</v>
      </c>
    </row>
    <row r="14" spans="1:12" x14ac:dyDescent="0.2">
      <c r="E14" s="8">
        <f>SUM(E2:E13)</f>
        <v>48</v>
      </c>
      <c r="F14" s="8">
        <f>SUM(F2:F13)</f>
        <v>47</v>
      </c>
      <c r="I14" s="18">
        <f>AVERAGE(I2:I13)</f>
        <v>0.98181818181818192</v>
      </c>
      <c r="J14" s="18">
        <f t="shared" ref="J14:K14" si="3">AVERAGE(J2:J13)</f>
        <v>0.69545454545454544</v>
      </c>
      <c r="K14" s="18">
        <f t="shared" si="3"/>
        <v>3.8424242424242423</v>
      </c>
      <c r="L14" s="2" t="s">
        <v>80</v>
      </c>
    </row>
    <row r="15" spans="1:12" x14ac:dyDescent="0.2">
      <c r="I15" s="18">
        <f>STDEV(I2:I13)</f>
        <v>6.0302268915552723E-2</v>
      </c>
      <c r="J15" s="18">
        <f t="shared" ref="J15:K15" si="4">STDEV(J2:J13)</f>
        <v>0.18989630344113059</v>
      </c>
      <c r="K15" s="18">
        <f t="shared" si="4"/>
        <v>1.40576913776298</v>
      </c>
      <c r="L15" s="2" t="s">
        <v>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FC85C-3066-CC4B-9113-EDB90237B418}">
  <dimension ref="A1:N16"/>
  <sheetViews>
    <sheetView topLeftCell="B9" workbookViewId="0">
      <selection activeCell="K15" sqref="K15"/>
    </sheetView>
  </sheetViews>
  <sheetFormatPr baseColWidth="10" defaultRowHeight="16" x14ac:dyDescent="0.2"/>
  <cols>
    <col min="1" max="1" width="4" bestFit="1" customWidth="1"/>
    <col min="2" max="2" width="58.33203125" bestFit="1" customWidth="1"/>
    <col min="3" max="3" width="71.33203125" bestFit="1" customWidth="1"/>
    <col min="4" max="4" width="16.6640625" customWidth="1"/>
    <col min="5" max="5" width="11.33203125" customWidth="1"/>
    <col min="6" max="6" width="11.1640625" customWidth="1"/>
    <col min="7" max="7" width="11.5" customWidth="1"/>
    <col min="8" max="8" width="11.6640625" style="13" bestFit="1" customWidth="1"/>
    <col min="9" max="9" width="12.6640625" style="13" bestFit="1" customWidth="1"/>
    <col min="10" max="10" width="11.83203125" style="13" bestFit="1" customWidth="1"/>
    <col min="11" max="11" width="13" bestFit="1" customWidth="1"/>
  </cols>
  <sheetData>
    <row r="1" spans="1:14" ht="68" x14ac:dyDescent="0.2">
      <c r="A1" s="7" t="s">
        <v>54</v>
      </c>
      <c r="B1" s="4" t="s">
        <v>13</v>
      </c>
      <c r="C1" s="5" t="s">
        <v>68</v>
      </c>
      <c r="D1" s="10" t="s">
        <v>69</v>
      </c>
      <c r="E1" s="10" t="s">
        <v>57</v>
      </c>
      <c r="F1" s="5" t="s">
        <v>58</v>
      </c>
      <c r="G1" s="5" t="s">
        <v>59</v>
      </c>
      <c r="H1" s="15" t="s">
        <v>52</v>
      </c>
      <c r="I1" s="15" t="s">
        <v>47</v>
      </c>
      <c r="J1" s="15" t="s">
        <v>48</v>
      </c>
      <c r="K1" s="3"/>
    </row>
    <row r="2" spans="1:14" ht="85" x14ac:dyDescent="0.2">
      <c r="A2" s="8" t="s">
        <v>0</v>
      </c>
      <c r="B2" s="1" t="s">
        <v>12</v>
      </c>
      <c r="C2" s="11" t="s">
        <v>60</v>
      </c>
      <c r="D2" s="8">
        <v>0</v>
      </c>
      <c r="E2" s="8">
        <v>0</v>
      </c>
      <c r="F2" s="8">
        <v>0</v>
      </c>
      <c r="G2" s="8">
        <v>0</v>
      </c>
      <c r="H2" s="16" t="s">
        <v>51</v>
      </c>
      <c r="I2" s="16" t="s">
        <v>51</v>
      </c>
      <c r="J2" s="16" t="s">
        <v>51</v>
      </c>
      <c r="K2" s="8"/>
      <c r="L2" s="8"/>
      <c r="M2" s="9"/>
      <c r="N2" s="9"/>
    </row>
    <row r="3" spans="1:14" ht="85" x14ac:dyDescent="0.2">
      <c r="A3" s="8" t="s">
        <v>1</v>
      </c>
      <c r="B3" s="1" t="s">
        <v>18</v>
      </c>
      <c r="C3" s="11" t="s">
        <v>60</v>
      </c>
      <c r="D3" s="8">
        <v>0</v>
      </c>
      <c r="E3" s="8">
        <v>0</v>
      </c>
      <c r="F3" s="8">
        <v>0</v>
      </c>
      <c r="G3" s="8">
        <v>0</v>
      </c>
      <c r="H3" s="16" t="s">
        <v>51</v>
      </c>
      <c r="I3" s="16" t="s">
        <v>51</v>
      </c>
      <c r="J3" s="16" t="s">
        <v>51</v>
      </c>
      <c r="K3" s="9"/>
      <c r="L3" s="9"/>
    </row>
    <row r="4" spans="1:14" ht="119" x14ac:dyDescent="0.2">
      <c r="A4" s="8" t="s">
        <v>2</v>
      </c>
      <c r="B4" s="1" t="s">
        <v>19</v>
      </c>
      <c r="C4" s="11" t="s">
        <v>60</v>
      </c>
      <c r="D4" s="8">
        <v>0</v>
      </c>
      <c r="E4" s="8">
        <v>0</v>
      </c>
      <c r="F4" s="8">
        <v>0</v>
      </c>
      <c r="G4" s="8">
        <v>0</v>
      </c>
      <c r="H4" s="16" t="s">
        <v>51</v>
      </c>
      <c r="I4" s="16" t="s">
        <v>51</v>
      </c>
      <c r="J4" s="16" t="s">
        <v>51</v>
      </c>
      <c r="K4" s="9"/>
      <c r="L4" s="9"/>
    </row>
    <row r="5" spans="1:14" ht="102" x14ac:dyDescent="0.2">
      <c r="A5" s="8" t="s">
        <v>3</v>
      </c>
      <c r="B5" s="1" t="s">
        <v>15</v>
      </c>
      <c r="C5" s="6" t="s">
        <v>61</v>
      </c>
      <c r="D5" s="8">
        <v>2</v>
      </c>
      <c r="E5" s="8">
        <v>2</v>
      </c>
      <c r="F5" s="8">
        <v>1</v>
      </c>
      <c r="G5" s="8">
        <v>6</v>
      </c>
      <c r="H5" s="16">
        <f t="shared" ref="H3:H13" si="0">E5/D5</f>
        <v>1</v>
      </c>
      <c r="I5" s="16">
        <f t="shared" ref="I3:I13" si="1">F5/D5</f>
        <v>0.5</v>
      </c>
      <c r="J5" s="16">
        <f t="shared" ref="J3:J13" si="2">G5/D5</f>
        <v>3</v>
      </c>
      <c r="K5" s="9"/>
      <c r="L5" s="9"/>
    </row>
    <row r="6" spans="1:14" ht="68" x14ac:dyDescent="0.2">
      <c r="A6" s="8" t="s">
        <v>4</v>
      </c>
      <c r="B6" s="1" t="s">
        <v>16</v>
      </c>
      <c r="C6" s="11" t="s">
        <v>60</v>
      </c>
      <c r="D6" s="8">
        <v>0</v>
      </c>
      <c r="E6" s="8">
        <v>0</v>
      </c>
      <c r="F6" s="8">
        <v>0</v>
      </c>
      <c r="G6" s="8">
        <v>0</v>
      </c>
      <c r="H6" s="16" t="s">
        <v>51</v>
      </c>
      <c r="I6" s="16" t="s">
        <v>51</v>
      </c>
      <c r="J6" s="16" t="s">
        <v>51</v>
      </c>
      <c r="K6" s="9"/>
      <c r="L6" s="9"/>
    </row>
    <row r="7" spans="1:14" ht="102" x14ac:dyDescent="0.2">
      <c r="A7" s="8" t="s">
        <v>5</v>
      </c>
      <c r="B7" s="1" t="s">
        <v>17</v>
      </c>
      <c r="C7" s="6" t="s">
        <v>62</v>
      </c>
      <c r="D7" s="8">
        <v>2</v>
      </c>
      <c r="E7" s="8">
        <v>2</v>
      </c>
      <c r="F7" s="8">
        <v>1</v>
      </c>
      <c r="G7" s="8">
        <v>5</v>
      </c>
      <c r="H7" s="16">
        <f t="shared" si="0"/>
        <v>1</v>
      </c>
      <c r="I7" s="16">
        <f t="shared" si="1"/>
        <v>0.5</v>
      </c>
      <c r="J7" s="16">
        <f t="shared" si="2"/>
        <v>2.5</v>
      </c>
      <c r="K7" s="9"/>
      <c r="L7" s="9"/>
    </row>
    <row r="8" spans="1:14" ht="85" x14ac:dyDescent="0.2">
      <c r="A8" s="8" t="s">
        <v>6</v>
      </c>
      <c r="B8" s="1" t="s">
        <v>20</v>
      </c>
      <c r="C8" s="6" t="s">
        <v>63</v>
      </c>
      <c r="D8" s="8">
        <v>2</v>
      </c>
      <c r="E8" s="8">
        <v>2</v>
      </c>
      <c r="F8" s="8">
        <v>0</v>
      </c>
      <c r="G8" s="8">
        <v>0</v>
      </c>
      <c r="H8" s="16">
        <f t="shared" si="0"/>
        <v>1</v>
      </c>
      <c r="I8" s="16">
        <f t="shared" si="1"/>
        <v>0</v>
      </c>
      <c r="J8" s="16">
        <f t="shared" si="2"/>
        <v>0</v>
      </c>
      <c r="K8" s="9"/>
      <c r="L8" s="9"/>
    </row>
    <row r="9" spans="1:14" ht="119" x14ac:dyDescent="0.2">
      <c r="A9" s="8" t="s">
        <v>7</v>
      </c>
      <c r="B9" s="1" t="s">
        <v>21</v>
      </c>
      <c r="C9" s="6" t="s">
        <v>64</v>
      </c>
      <c r="D9" s="8">
        <v>2</v>
      </c>
      <c r="E9" s="8">
        <v>2</v>
      </c>
      <c r="F9" s="8">
        <v>1</v>
      </c>
      <c r="G9" s="8">
        <v>6</v>
      </c>
      <c r="H9" s="16">
        <f t="shared" si="0"/>
        <v>1</v>
      </c>
      <c r="I9" s="16">
        <f t="shared" si="1"/>
        <v>0.5</v>
      </c>
      <c r="J9" s="16">
        <f t="shared" si="2"/>
        <v>3</v>
      </c>
      <c r="K9" s="9"/>
      <c r="L9" s="9"/>
    </row>
    <row r="10" spans="1:14" ht="68" x14ac:dyDescent="0.2">
      <c r="A10" s="8" t="s">
        <v>8</v>
      </c>
      <c r="B10" s="1" t="s">
        <v>22</v>
      </c>
      <c r="C10" s="6" t="s">
        <v>65</v>
      </c>
      <c r="D10" s="8">
        <v>2</v>
      </c>
      <c r="E10" s="8">
        <v>1</v>
      </c>
      <c r="F10" s="8">
        <v>1</v>
      </c>
      <c r="G10" s="8">
        <v>5</v>
      </c>
      <c r="H10" s="16">
        <f t="shared" si="0"/>
        <v>0.5</v>
      </c>
      <c r="I10" s="16">
        <f t="shared" si="1"/>
        <v>0.5</v>
      </c>
      <c r="J10" s="16">
        <f t="shared" si="2"/>
        <v>2.5</v>
      </c>
      <c r="K10" s="9"/>
      <c r="L10" s="9"/>
    </row>
    <row r="11" spans="1:14" ht="85" x14ac:dyDescent="0.2">
      <c r="A11" s="8" t="s">
        <v>9</v>
      </c>
      <c r="B11" s="1" t="s">
        <v>23</v>
      </c>
      <c r="C11" s="11" t="s">
        <v>60</v>
      </c>
      <c r="D11" s="8">
        <v>0</v>
      </c>
      <c r="E11" s="8">
        <v>0</v>
      </c>
      <c r="F11" s="8">
        <v>0</v>
      </c>
      <c r="G11" s="8">
        <v>0</v>
      </c>
      <c r="H11" s="16" t="s">
        <v>51</v>
      </c>
      <c r="I11" s="16" t="s">
        <v>51</v>
      </c>
      <c r="J11" s="16" t="s">
        <v>51</v>
      </c>
      <c r="K11" s="9"/>
      <c r="L11" s="9"/>
    </row>
    <row r="12" spans="1:14" ht="119" x14ac:dyDescent="0.2">
      <c r="A12" s="8" t="s">
        <v>10</v>
      </c>
      <c r="B12" s="1" t="s">
        <v>24</v>
      </c>
      <c r="C12" s="6" t="s">
        <v>66</v>
      </c>
      <c r="D12" s="8">
        <v>2</v>
      </c>
      <c r="E12" s="8">
        <v>2</v>
      </c>
      <c r="F12" s="8">
        <v>1</v>
      </c>
      <c r="G12" s="8">
        <v>6</v>
      </c>
      <c r="H12" s="16">
        <f t="shared" si="0"/>
        <v>1</v>
      </c>
      <c r="I12" s="16">
        <f t="shared" si="1"/>
        <v>0.5</v>
      </c>
      <c r="J12" s="16">
        <f t="shared" si="2"/>
        <v>3</v>
      </c>
      <c r="K12" s="9"/>
      <c r="L12" s="9"/>
    </row>
    <row r="13" spans="1:14" ht="68" x14ac:dyDescent="0.2">
      <c r="A13" s="8" t="s">
        <v>11</v>
      </c>
      <c r="B13" s="1" t="s">
        <v>25</v>
      </c>
      <c r="C13" s="6" t="s">
        <v>67</v>
      </c>
      <c r="D13" s="8">
        <v>2</v>
      </c>
      <c r="E13" s="8">
        <v>2</v>
      </c>
      <c r="F13" s="8">
        <v>1</v>
      </c>
      <c r="G13" s="8">
        <v>5</v>
      </c>
      <c r="H13" s="16">
        <f t="shared" si="0"/>
        <v>1</v>
      </c>
      <c r="I13" s="16">
        <f t="shared" si="1"/>
        <v>0.5</v>
      </c>
      <c r="J13" s="16">
        <f t="shared" si="2"/>
        <v>2.5</v>
      </c>
      <c r="K13" s="9"/>
      <c r="L13" s="9"/>
    </row>
    <row r="14" spans="1:14" x14ac:dyDescent="0.2">
      <c r="A14" s="8"/>
      <c r="B14" s="1"/>
      <c r="D14" s="8">
        <f>SUM(D2:D13)</f>
        <v>14</v>
      </c>
      <c r="E14" s="8">
        <f>SUM(E2:E13)</f>
        <v>13</v>
      </c>
      <c r="H14" s="18">
        <f>AVERAGE(H2:H13)</f>
        <v>0.9285714285714286</v>
      </c>
      <c r="I14" s="18">
        <f>AVERAGE(I2:I13)</f>
        <v>0.42857142857142855</v>
      </c>
      <c r="J14" s="18">
        <f>AVERAGE(J2:J13)</f>
        <v>2.3571428571428572</v>
      </c>
      <c r="K14" s="2" t="s">
        <v>80</v>
      </c>
    </row>
    <row r="15" spans="1:14" x14ac:dyDescent="0.2">
      <c r="A15" s="8"/>
      <c r="B15" s="1"/>
      <c r="C15" s="6"/>
      <c r="F15" s="8"/>
      <c r="G15" s="8"/>
      <c r="H15" s="18">
        <f>STDEV(H2:H13)</f>
        <v>0.18898223650461365</v>
      </c>
      <c r="I15" s="18">
        <f>AVERAGE(I3:I14)</f>
        <v>0.42857142857142855</v>
      </c>
      <c r="J15" s="18">
        <f>AVERAGE(J3:J14)</f>
        <v>2.3571428571428572</v>
      </c>
      <c r="K15" s="2" t="s">
        <v>53</v>
      </c>
    </row>
    <row r="16" spans="1:14" x14ac:dyDescent="0.2">
      <c r="C16" s="6"/>
      <c r="D16" s="8"/>
      <c r="E16" s="8"/>
      <c r="F16" s="8"/>
      <c r="G16"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9CD36-6AD0-554E-BD4F-26774BEFE4FF}">
  <dimension ref="A1:M16"/>
  <sheetViews>
    <sheetView topLeftCell="B10" workbookViewId="0">
      <selection activeCell="J18" sqref="J18"/>
    </sheetView>
  </sheetViews>
  <sheetFormatPr baseColWidth="10" defaultRowHeight="16" x14ac:dyDescent="0.2"/>
  <cols>
    <col min="1" max="1" width="4" bestFit="1" customWidth="1"/>
    <col min="2" max="2" width="58.33203125" bestFit="1" customWidth="1"/>
    <col min="3" max="3" width="15.33203125" bestFit="1" customWidth="1"/>
    <col min="4" max="4" width="12.5" bestFit="1" customWidth="1"/>
    <col min="5" max="5" width="13.83203125" customWidth="1"/>
    <col min="6" max="6" width="9" bestFit="1" customWidth="1"/>
    <col min="7" max="7" width="5.83203125" style="13" bestFit="1" customWidth="1"/>
    <col min="8" max="8" width="13.6640625" bestFit="1" customWidth="1"/>
    <col min="9" max="9" width="10.6640625" bestFit="1" customWidth="1"/>
    <col min="12" max="12" width="17.33203125" bestFit="1" customWidth="1"/>
  </cols>
  <sheetData>
    <row r="1" spans="1:13" ht="35" customHeight="1" x14ac:dyDescent="0.2">
      <c r="A1" s="7" t="s">
        <v>54</v>
      </c>
      <c r="B1" s="4" t="s">
        <v>13</v>
      </c>
      <c r="C1" s="10" t="s">
        <v>75</v>
      </c>
      <c r="D1" s="10" t="s">
        <v>76</v>
      </c>
      <c r="E1" s="5" t="s">
        <v>70</v>
      </c>
      <c r="F1" s="5" t="s">
        <v>71</v>
      </c>
      <c r="G1" s="15" t="s">
        <v>72</v>
      </c>
      <c r="H1" s="15" t="s">
        <v>73</v>
      </c>
      <c r="I1" s="15" t="s">
        <v>74</v>
      </c>
      <c r="J1" s="3"/>
    </row>
    <row r="2" spans="1:13" ht="85" x14ac:dyDescent="0.2">
      <c r="A2" s="8" t="s">
        <v>0</v>
      </c>
      <c r="B2" s="1" t="s">
        <v>12</v>
      </c>
      <c r="C2" s="8">
        <v>6</v>
      </c>
      <c r="D2" s="8">
        <v>1</v>
      </c>
      <c r="E2" s="8">
        <v>6</v>
      </c>
      <c r="F2" s="8">
        <v>6</v>
      </c>
      <c r="G2" s="16">
        <v>1</v>
      </c>
      <c r="H2" s="16">
        <v>0</v>
      </c>
      <c r="I2" s="16">
        <v>0</v>
      </c>
      <c r="J2" s="8"/>
      <c r="K2" s="8"/>
      <c r="L2" s="9"/>
      <c r="M2" s="9"/>
    </row>
    <row r="3" spans="1:13" ht="85" x14ac:dyDescent="0.2">
      <c r="A3" s="8" t="s">
        <v>1</v>
      </c>
      <c r="B3" s="1" t="s">
        <v>18</v>
      </c>
      <c r="C3" s="8">
        <v>6</v>
      </c>
      <c r="D3" s="8">
        <v>1</v>
      </c>
      <c r="E3" s="8">
        <v>6</v>
      </c>
      <c r="F3" s="8">
        <v>6</v>
      </c>
      <c r="G3" s="16">
        <v>1</v>
      </c>
      <c r="H3" s="16">
        <v>0</v>
      </c>
      <c r="I3" s="16">
        <v>0</v>
      </c>
      <c r="J3" s="9"/>
      <c r="K3" s="9"/>
    </row>
    <row r="4" spans="1:13" ht="119" x14ac:dyDescent="0.2">
      <c r="A4" s="8" t="s">
        <v>2</v>
      </c>
      <c r="B4" s="1" t="s">
        <v>19</v>
      </c>
      <c r="C4" s="8">
        <v>3</v>
      </c>
      <c r="D4" s="8">
        <v>1</v>
      </c>
      <c r="E4" s="8">
        <v>3</v>
      </c>
      <c r="F4" s="8">
        <v>3</v>
      </c>
      <c r="G4" s="16">
        <v>1</v>
      </c>
      <c r="H4" s="16">
        <v>0</v>
      </c>
      <c r="I4" s="16">
        <v>0</v>
      </c>
      <c r="J4" s="9"/>
      <c r="K4" s="9"/>
    </row>
    <row r="5" spans="1:13" ht="102" x14ac:dyDescent="0.2">
      <c r="A5" s="8" t="s">
        <v>3</v>
      </c>
      <c r="B5" s="1" t="s">
        <v>15</v>
      </c>
      <c r="C5" s="8">
        <v>5</v>
      </c>
      <c r="D5" s="8">
        <v>2</v>
      </c>
      <c r="E5" s="8">
        <v>5</v>
      </c>
      <c r="F5" s="8">
        <v>4</v>
      </c>
      <c r="G5" s="16">
        <v>0.8</v>
      </c>
      <c r="H5" s="16">
        <v>0</v>
      </c>
      <c r="I5" s="16">
        <v>0</v>
      </c>
      <c r="J5" s="9"/>
      <c r="K5" s="9"/>
    </row>
    <row r="6" spans="1:13" ht="68" x14ac:dyDescent="0.2">
      <c r="A6" s="8" t="s">
        <v>4</v>
      </c>
      <c r="B6" s="1" t="s">
        <v>16</v>
      </c>
      <c r="C6" s="8">
        <v>4</v>
      </c>
      <c r="D6" s="8">
        <v>1</v>
      </c>
      <c r="E6" s="8">
        <v>4</v>
      </c>
      <c r="F6" s="8">
        <v>4</v>
      </c>
      <c r="G6" s="16">
        <v>1</v>
      </c>
      <c r="H6" s="16">
        <v>0</v>
      </c>
      <c r="I6" s="16">
        <v>0</v>
      </c>
      <c r="J6" s="9"/>
      <c r="K6" s="9"/>
    </row>
    <row r="7" spans="1:13" ht="102" x14ac:dyDescent="0.2">
      <c r="A7" s="8" t="s">
        <v>5</v>
      </c>
      <c r="B7" s="1" t="s">
        <v>17</v>
      </c>
      <c r="C7" s="8">
        <v>4</v>
      </c>
      <c r="D7" s="8">
        <v>2</v>
      </c>
      <c r="E7" s="8">
        <v>4</v>
      </c>
      <c r="F7" s="8">
        <v>4</v>
      </c>
      <c r="G7" s="16">
        <v>1</v>
      </c>
      <c r="H7" s="16">
        <v>0</v>
      </c>
      <c r="I7" s="16">
        <v>0</v>
      </c>
      <c r="J7" s="9"/>
      <c r="K7" s="9"/>
    </row>
    <row r="8" spans="1:13" ht="85" x14ac:dyDescent="0.2">
      <c r="A8" s="8" t="s">
        <v>6</v>
      </c>
      <c r="B8" s="1" t="s">
        <v>20</v>
      </c>
      <c r="C8" s="8">
        <v>0</v>
      </c>
      <c r="D8" s="8">
        <v>2</v>
      </c>
      <c r="E8" s="8">
        <v>2</v>
      </c>
      <c r="F8" s="8">
        <v>2</v>
      </c>
      <c r="G8" s="16">
        <v>1</v>
      </c>
      <c r="H8" s="16">
        <v>0</v>
      </c>
      <c r="I8" s="16">
        <v>0</v>
      </c>
      <c r="J8" s="9"/>
      <c r="K8" s="9"/>
    </row>
    <row r="9" spans="1:13" ht="119" x14ac:dyDescent="0.2">
      <c r="A9" s="8" t="s">
        <v>7</v>
      </c>
      <c r="B9" s="1" t="s">
        <v>21</v>
      </c>
      <c r="C9" s="8">
        <v>4</v>
      </c>
      <c r="D9" s="8">
        <v>2</v>
      </c>
      <c r="E9" s="8">
        <v>4</v>
      </c>
      <c r="F9" s="8">
        <v>4</v>
      </c>
      <c r="G9" s="16">
        <v>1</v>
      </c>
      <c r="H9" s="16">
        <v>0</v>
      </c>
      <c r="I9" s="16">
        <v>0</v>
      </c>
      <c r="J9" s="9"/>
      <c r="K9" s="9"/>
    </row>
    <row r="10" spans="1:13" ht="68" x14ac:dyDescent="0.2">
      <c r="A10" s="8" t="s">
        <v>8</v>
      </c>
      <c r="B10" s="1" t="s">
        <v>22</v>
      </c>
      <c r="C10" s="8">
        <v>4</v>
      </c>
      <c r="D10" s="8">
        <v>2</v>
      </c>
      <c r="E10" s="8">
        <v>4</v>
      </c>
      <c r="F10" s="8">
        <v>4</v>
      </c>
      <c r="G10" s="16">
        <v>1</v>
      </c>
      <c r="H10" s="16">
        <v>0</v>
      </c>
      <c r="I10" s="16">
        <v>0</v>
      </c>
      <c r="J10" s="9"/>
      <c r="K10" s="9"/>
    </row>
    <row r="11" spans="1:13" ht="85" x14ac:dyDescent="0.2">
      <c r="A11" s="8" t="s">
        <v>9</v>
      </c>
      <c r="B11" s="1" t="s">
        <v>23</v>
      </c>
      <c r="C11" s="8">
        <v>4</v>
      </c>
      <c r="D11" s="8">
        <v>1</v>
      </c>
      <c r="E11" s="8">
        <v>4</v>
      </c>
      <c r="F11" s="8">
        <v>4</v>
      </c>
      <c r="G11" s="16">
        <v>1</v>
      </c>
      <c r="H11" s="16">
        <v>0</v>
      </c>
      <c r="I11" s="16">
        <v>0</v>
      </c>
      <c r="J11" s="9"/>
      <c r="K11" s="9"/>
    </row>
    <row r="12" spans="1:13" ht="119" x14ac:dyDescent="0.2">
      <c r="A12" s="8" t="s">
        <v>10</v>
      </c>
      <c r="B12" s="1" t="s">
        <v>24</v>
      </c>
      <c r="C12" s="8">
        <v>4</v>
      </c>
      <c r="D12" s="8">
        <v>2</v>
      </c>
      <c r="E12" s="8">
        <v>4</v>
      </c>
      <c r="F12" s="8">
        <v>4</v>
      </c>
      <c r="G12" s="16">
        <v>1</v>
      </c>
      <c r="H12" s="16">
        <v>0</v>
      </c>
      <c r="I12" s="16">
        <v>0</v>
      </c>
      <c r="J12" s="9"/>
      <c r="K12" s="9"/>
    </row>
    <row r="13" spans="1:13" ht="68" x14ac:dyDescent="0.2">
      <c r="A13" s="8" t="s">
        <v>11</v>
      </c>
      <c r="B13" s="1" t="s">
        <v>25</v>
      </c>
      <c r="C13" s="8">
        <v>4</v>
      </c>
      <c r="D13" s="8">
        <v>2</v>
      </c>
      <c r="E13" s="8">
        <v>4</v>
      </c>
      <c r="F13" s="8">
        <v>4</v>
      </c>
      <c r="G13" s="16">
        <v>1</v>
      </c>
      <c r="H13" s="16">
        <v>0</v>
      </c>
      <c r="I13" s="16">
        <v>0</v>
      </c>
      <c r="J13" s="9"/>
      <c r="K13" s="9"/>
    </row>
    <row r="14" spans="1:13" x14ac:dyDescent="0.2">
      <c r="A14" s="8"/>
      <c r="B14" s="1"/>
      <c r="C14" s="8"/>
      <c r="D14" s="8"/>
      <c r="E14" s="8"/>
      <c r="F14" s="8"/>
      <c r="G14" s="18">
        <f>AVERAGE(G2:G13)</f>
        <v>0.98333333333333339</v>
      </c>
      <c r="H14" s="14">
        <f>AVERAGE(H2:H13)</f>
        <v>0</v>
      </c>
      <c r="I14" s="14">
        <f t="shared" ref="I14:I15" si="0">AVERAGE(I2:I13)</f>
        <v>0</v>
      </c>
      <c r="J14" s="2" t="s">
        <v>78</v>
      </c>
      <c r="K14" s="17">
        <v>0.96774194000000002</v>
      </c>
      <c r="L14" s="2" t="s">
        <v>79</v>
      </c>
    </row>
    <row r="15" spans="1:13" x14ac:dyDescent="0.2">
      <c r="A15" s="8"/>
      <c r="B15" s="1"/>
      <c r="C15" s="8"/>
      <c r="D15" s="8"/>
      <c r="E15" s="8"/>
      <c r="F15" s="8"/>
      <c r="G15" s="18">
        <f>STDEV(G2:G13)</f>
        <v>5.7735026918962547E-2</v>
      </c>
      <c r="H15" s="14">
        <f t="shared" ref="H15" si="1">AVERAGE(H3:H14)</f>
        <v>0</v>
      </c>
      <c r="I15" s="14">
        <f t="shared" si="0"/>
        <v>0</v>
      </c>
      <c r="J15" s="2" t="s">
        <v>53</v>
      </c>
    </row>
    <row r="16" spans="1:13" x14ac:dyDescent="0.2">
      <c r="G16" s="17">
        <f>2*(G14*K14)/(G14+K14)</f>
        <v>0.97547533985285406</v>
      </c>
      <c r="J16" s="2"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Claude</vt:lpstr>
      <vt:lpstr>ChatGPT</vt:lpstr>
      <vt:lpstr>MergedSilver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Aldo Gangemi</dc:creator>
  <cp:lastModifiedBy>Aldo Gangemi</cp:lastModifiedBy>
  <dcterms:created xsi:type="dcterms:W3CDTF">2025-01-26T18:55:10Z</dcterms:created>
  <dcterms:modified xsi:type="dcterms:W3CDTF">2025-01-27T15:33:02Z</dcterms:modified>
</cp:coreProperties>
</file>